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mpuckett79.github.io\final\"/>
    </mc:Choice>
  </mc:AlternateContent>
  <bookViews>
    <workbookView xWindow="0" yWindow="0" windowWidth="19200" windowHeight="11595"/>
  </bookViews>
  <sheets>
    <sheet name="Sheet2" sheetId="2" r:id="rId1"/>
    <sheet name="Sheet3" sheetId="3" r:id="rId2"/>
  </sheets>
  <definedNames>
    <definedName name="FEATURE" localSheetId="0">Sheet2!$A$1:$C$83</definedName>
  </definedNames>
  <calcPr calcId="152511"/>
</workbook>
</file>

<file path=xl/calcChain.xml><?xml version="1.0" encoding="utf-8"?>
<calcChain xmlns="http://schemas.openxmlformats.org/spreadsheetml/2006/main">
  <c r="G4" i="2" l="1"/>
  <c r="G8" i="2"/>
  <c r="G12" i="2"/>
  <c r="G16" i="2"/>
  <c r="G20" i="2"/>
  <c r="G24" i="2"/>
  <c r="G28" i="2"/>
  <c r="G32" i="2"/>
  <c r="G36" i="2"/>
  <c r="G40" i="2"/>
  <c r="G44" i="2"/>
  <c r="G48" i="2"/>
  <c r="G52" i="2"/>
  <c r="G56" i="2"/>
  <c r="G60" i="2"/>
  <c r="G64" i="2"/>
  <c r="G68" i="2"/>
  <c r="G72" i="2"/>
  <c r="G76" i="2"/>
  <c r="G80" i="2"/>
  <c r="G25" i="2"/>
  <c r="G41" i="2"/>
  <c r="G53" i="2"/>
  <c r="G65" i="2"/>
  <c r="G77" i="2"/>
  <c r="G6" i="2"/>
  <c r="G18" i="2"/>
  <c r="G30" i="2"/>
  <c r="G42" i="2"/>
  <c r="G50" i="2"/>
  <c r="G62" i="2"/>
  <c r="G74" i="2"/>
  <c r="G5" i="2"/>
  <c r="G9" i="2"/>
  <c r="G13" i="2"/>
  <c r="G17" i="2"/>
  <c r="G21" i="2"/>
  <c r="G33" i="2"/>
  <c r="G45" i="2"/>
  <c r="G61" i="2"/>
  <c r="G81" i="2"/>
  <c r="G22" i="2"/>
  <c r="G38" i="2"/>
  <c r="G58" i="2"/>
  <c r="G78" i="2"/>
  <c r="G7" i="2"/>
  <c r="G11" i="2"/>
  <c r="G15" i="2"/>
  <c r="G19" i="2"/>
  <c r="G23" i="2"/>
  <c r="G27" i="2"/>
  <c r="G31" i="2"/>
  <c r="G35" i="2"/>
  <c r="G39" i="2"/>
  <c r="G43" i="2"/>
  <c r="G47" i="2"/>
  <c r="G51" i="2"/>
  <c r="G55" i="2"/>
  <c r="G59" i="2"/>
  <c r="G63" i="2"/>
  <c r="G67" i="2"/>
  <c r="G71" i="2"/>
  <c r="G75" i="2"/>
  <c r="G79" i="2"/>
  <c r="G83" i="2"/>
  <c r="G29" i="2"/>
  <c r="G37" i="2"/>
  <c r="G49" i="2"/>
  <c r="G57" i="2"/>
  <c r="G69" i="2"/>
  <c r="G73" i="2"/>
  <c r="G10" i="2"/>
  <c r="G14" i="2"/>
  <c r="G26" i="2"/>
  <c r="G34" i="2"/>
  <c r="G46" i="2"/>
  <c r="G54" i="2"/>
  <c r="G66" i="2"/>
  <c r="G70" i="2"/>
  <c r="G82" i="2"/>
  <c r="G3" i="2"/>
  <c r="G2" i="2"/>
  <c r="F2" i="2"/>
  <c r="F3" i="2"/>
  <c r="F7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24" i="2"/>
  <c r="F36" i="2"/>
  <c r="F48" i="2"/>
  <c r="F60" i="2"/>
  <c r="F72" i="2"/>
  <c r="F76" i="2"/>
  <c r="F9" i="2"/>
  <c r="F17" i="2"/>
  <c r="F33" i="2"/>
  <c r="F45" i="2"/>
  <c r="F57" i="2"/>
  <c r="F69" i="2"/>
  <c r="F77" i="2"/>
  <c r="F4" i="2"/>
  <c r="F8" i="2"/>
  <c r="F12" i="2"/>
  <c r="F16" i="2"/>
  <c r="F20" i="2"/>
  <c r="F32" i="2"/>
  <c r="F44" i="2"/>
  <c r="F64" i="2"/>
  <c r="F13" i="2"/>
  <c r="F21" i="2"/>
  <c r="F37" i="2"/>
  <c r="F49" i="2"/>
  <c r="F61" i="2"/>
  <c r="F81" i="2"/>
  <c r="F6" i="2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3" i="2"/>
  <c r="F28" i="2"/>
  <c r="F40" i="2"/>
  <c r="F52" i="2"/>
  <c r="F56" i="2"/>
  <c r="F68" i="2"/>
  <c r="F80" i="2"/>
  <c r="F5" i="2"/>
  <c r="F25" i="2"/>
  <c r="F29" i="2"/>
  <c r="F41" i="2"/>
  <c r="F53" i="2"/>
  <c r="F65" i="2"/>
  <c r="F73" i="2"/>
</calcChain>
</file>

<file path=xl/connections.xml><?xml version="1.0" encoding="utf-8"?>
<connections xmlns="http://schemas.openxmlformats.org/spreadsheetml/2006/main">
  <connection id="1" name="FEATURE" type="6" refreshedVersion="4" background="1" saveData="1">
    <textPr codePage="437" sourceFile="C:\Users\Office\Desktop\FEATURE.txt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<sst xmlns="http://schemas.openxmlformats.org/spreadsheetml/2006/main" count="89" uniqueCount="55">
  <si>
    <t>FEATURE</t>
  </si>
  <si>
    <t xml:space="preserve"> (decimal degrees)</t>
  </si>
  <si>
    <t>Hamilton Street Swallet</t>
  </si>
  <si>
    <t>Cemeterv Maintenance Shack Sink</t>
  </si>
  <si>
    <t>Showalter Subdivision Drainage Well</t>
  </si>
  <si>
    <t>Showalter Sink (Drainage Well)</t>
  </si>
  <si>
    <t>460 Detention Basin Swallet</t>
  </si>
  <si>
    <t>Northeast RR swallet</t>
  </si>
  <si>
    <t xml:space="preserve">460 Bypass Swallet </t>
  </si>
  <si>
    <t xml:space="preserve">South 460 Drainpipe Swallet </t>
  </si>
  <si>
    <t xml:space="preserve">Southeast RR swallet </t>
  </si>
  <si>
    <t>Barton eoikarst losina</t>
  </si>
  <si>
    <t xml:space="preserve">Swallet </t>
  </si>
  <si>
    <t xml:space="preserve">Barton eoikarst swallet </t>
  </si>
  <si>
    <t xml:space="preserve">Barton Farm sink </t>
  </si>
  <si>
    <t xml:space="preserve">Barton Swallet </t>
  </si>
  <si>
    <t>Barton Swallet 2</t>
  </si>
  <si>
    <t xml:space="preserve">Cane Run sink </t>
  </si>
  <si>
    <t xml:space="preserve">Barton hillside sink </t>
  </si>
  <si>
    <t xml:space="preserve">Barton Lake Sinks </t>
  </si>
  <si>
    <t xml:space="preserve">Muck pile sink </t>
  </si>
  <si>
    <t xml:space="preserve">Horse Park eoikarst swallet </t>
  </si>
  <si>
    <t xml:space="preserve">Horse Park epikarst window </t>
  </si>
  <si>
    <t xml:space="preserve">Horse Park swallet </t>
  </si>
  <si>
    <t xml:space="preserve">Cane Run swallet </t>
  </si>
  <si>
    <t xml:space="preserve">Cane Run Swallet </t>
  </si>
  <si>
    <t xml:space="preserve">Horse Park fenceoost swallet </t>
  </si>
  <si>
    <t xml:space="preserve">Guard Shack Swallet </t>
  </si>
  <si>
    <t xml:space="preserve">Swallet Drainaae </t>
  </si>
  <si>
    <t xml:space="preserve">Lower Spindletop </t>
  </si>
  <si>
    <t xml:space="preserve">Spindletoo eoikarst sink </t>
  </si>
  <si>
    <t xml:space="preserve">Upper Spindletop swallet </t>
  </si>
  <si>
    <t xml:space="preserve">Uooer Spindletop swallet </t>
  </si>
  <si>
    <t xml:space="preserve">Tributary swallet </t>
  </si>
  <si>
    <t xml:space="preserve">Vulcan - Cane Run Swallet </t>
  </si>
  <si>
    <t xml:space="preserve">Vulcan Quarrv cave </t>
  </si>
  <si>
    <t xml:space="preserve">Vulcan Quarrv swallet cave </t>
  </si>
  <si>
    <t xml:space="preserve">UK AG farm swallet </t>
  </si>
  <si>
    <t xml:space="preserve">UK AG farm sink </t>
  </si>
  <si>
    <t xml:space="preserve">1-75 Tributarv swallet </t>
  </si>
  <si>
    <t xml:space="preserve">Cane Run AG farm swallet </t>
  </si>
  <si>
    <t xml:space="preserve">1-75 Tributary swallet </t>
  </si>
  <si>
    <t xml:space="preserve">Cold Stream tributarv swallet </t>
  </si>
  <si>
    <t xml:space="preserve">North Cold Stream swallet </t>
  </si>
  <si>
    <t xml:space="preserve">1-75 lnterchanoe swallet </t>
  </si>
  <si>
    <t xml:space="preserve">Cold Stream swallet </t>
  </si>
  <si>
    <t xml:space="preserve">Newtown Estavelle </t>
  </si>
  <si>
    <t xml:space="preserve">Losina stream </t>
  </si>
  <si>
    <t xml:space="preserve">IBM swallet </t>
  </si>
  <si>
    <t xml:space="preserve">New Circle swallet </t>
  </si>
  <si>
    <t xml:space="preserve">Demolition sink </t>
  </si>
  <si>
    <t xml:space="preserve">WGS84 </t>
  </si>
  <si>
    <t>WGS84</t>
  </si>
  <si>
    <t>WGS84 DMS</t>
  </si>
  <si>
    <t>WGS84DMS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</si>
</sst>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.5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FEATUR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3"/>
  <sheetViews>
    <sheetView tabSelected="1" topLeftCell="A4" workbookViewId="0">
      <selection activeCell="F8" sqref="F8"/>
    </sheetView>
  </sheetViews>
  <sheetFormatPr defaultRowHeight="15" x14ac:dyDescent="0.25"/>
  <cols>
    <col min="1" max="1" width="26.85546875" bestFit="1" customWidth="1"/>
    <col min="2" max="2" width="15.42578125" customWidth="1"/>
    <col min="3" max="3" width="15.28515625" customWidth="1"/>
    <col min="4" max="4" width="12" style="4" customWidth="1"/>
    <col min="5" max="5" width="11.7109375" style="4" customWidth="1"/>
    <col min="6" max="6" width="17.7109375" style="5" customWidth="1"/>
    <col min="7" max="7" width="20.42578125" style="5" customWidth="1"/>
  </cols>
  <sheetData>
    <row r="1" spans="1:7" x14ac:dyDescent="0.25">
      <c r="A1" s="1" t="s">
        <v>0</v>
      </c>
      <c r="B1" t="s">
        <v>1</v>
      </c>
      <c r="C1" t="s">
        <v>1</v>
      </c>
      <c r="D1" s="4" t="s">
        <v>51</v>
      </c>
      <c r="E1" s="4" t="s">
        <v>52</v>
      </c>
      <c r="F1" s="5" t="s">
        <v>53</v>
      </c>
      <c r="G1" s="5" t="s">
        <v>54</v>
      </c>
    </row>
    <row r="2" spans="1:7" x14ac:dyDescent="0.25">
      <c r="A2" s="1" t="s">
        <v>2</v>
      </c>
      <c r="B2">
        <v>38.199559999999998</v>
      </c>
      <c r="C2">
        <v>-84.558179999999993</v>
      </c>
      <c r="D2" s="4">
        <v>38.199620000000003</v>
      </c>
      <c r="E2" s="4">
        <v>-84.558099999999996</v>
      </c>
      <c r="F2" s="5" t="str">
        <f>Convert_Degree(D2)</f>
        <v xml:space="preserve"> 38° 11' 58.6"</v>
      </c>
      <c r="G2" s="5" t="str">
        <f>Convert_Degree(E2)</f>
        <v xml:space="preserve"> -85° 26' 30.8"</v>
      </c>
    </row>
    <row r="3" spans="1:7" x14ac:dyDescent="0.25">
      <c r="A3" s="1" t="s">
        <v>3</v>
      </c>
      <c r="B3">
        <v>38.197510000000001</v>
      </c>
      <c r="C3">
        <v>-84.557230000000004</v>
      </c>
      <c r="D3" s="4">
        <v>38.197569999999999</v>
      </c>
      <c r="E3" s="4">
        <v>-84.557149999999993</v>
      </c>
      <c r="F3" s="5" t="str">
        <f t="shared" ref="F3:F66" si="0">Convert_Degree(D3)</f>
        <v xml:space="preserve"> 38° 11' 51.3"</v>
      </c>
      <c r="G3" s="5" t="str">
        <f>Convert_Degree(E3)</f>
        <v xml:space="preserve"> -85° 26' 34.3"</v>
      </c>
    </row>
    <row r="4" spans="1:7" x14ac:dyDescent="0.25">
      <c r="A4" s="1" t="s">
        <v>4</v>
      </c>
      <c r="B4">
        <v>38.194690000000001</v>
      </c>
      <c r="C4">
        <v>-84.553600000000003</v>
      </c>
      <c r="D4" s="4">
        <v>38.194749999999999</v>
      </c>
      <c r="E4" s="4">
        <v>-84.553520000000006</v>
      </c>
      <c r="F4" s="5" t="str">
        <f t="shared" si="0"/>
        <v xml:space="preserve"> 38° 11' 41.1"</v>
      </c>
      <c r="G4" s="5" t="str">
        <f t="shared" ref="G4:G67" si="1">Convert_Degree(E4)</f>
        <v xml:space="preserve"> -85° 26' 47.3"</v>
      </c>
    </row>
    <row r="5" spans="1:7" x14ac:dyDescent="0.25">
      <c r="A5" s="1" t="s">
        <v>5</v>
      </c>
      <c r="B5">
        <v>38.19209</v>
      </c>
      <c r="C5">
        <v>-84.550709999999995</v>
      </c>
      <c r="D5" s="4">
        <v>38.192149999999998</v>
      </c>
      <c r="E5" s="4">
        <v>-84.550629999999998</v>
      </c>
      <c r="F5" s="5" t="str">
        <f t="shared" si="0"/>
        <v xml:space="preserve"> 38° 11' 31.7"</v>
      </c>
      <c r="G5" s="5" t="str">
        <f t="shared" si="1"/>
        <v xml:space="preserve"> -85° 26' 57.7"</v>
      </c>
    </row>
    <row r="6" spans="1:7" x14ac:dyDescent="0.25">
      <c r="A6" s="1" t="s">
        <v>6</v>
      </c>
      <c r="B6">
        <v>38.18759</v>
      </c>
      <c r="C6">
        <v>-84.546520000000001</v>
      </c>
      <c r="D6" s="4">
        <v>38.187649999999998</v>
      </c>
      <c r="E6" s="4">
        <v>-84.546440000000004</v>
      </c>
      <c r="F6" s="5" t="str">
        <f t="shared" si="0"/>
        <v xml:space="preserve"> 38° 11' 15.5"</v>
      </c>
      <c r="G6" s="5" t="str">
        <f t="shared" si="1"/>
        <v xml:space="preserve"> -85° 27' 12.8"</v>
      </c>
    </row>
    <row r="7" spans="1:7" x14ac:dyDescent="0.25">
      <c r="A7" s="1" t="s">
        <v>7</v>
      </c>
      <c r="B7">
        <v>38.187440000000002</v>
      </c>
      <c r="C7">
        <v>-84.543999999999997</v>
      </c>
      <c r="D7" s="4">
        <v>38.1875</v>
      </c>
      <c r="E7" s="4">
        <v>-84.54392</v>
      </c>
      <c r="F7" s="5" t="str">
        <f t="shared" si="0"/>
        <v xml:space="preserve"> 38° 11' 15.0"</v>
      </c>
      <c r="G7" s="5" t="str">
        <f t="shared" si="1"/>
        <v xml:space="preserve"> -85° 27' 21.9"</v>
      </c>
    </row>
    <row r="8" spans="1:7" x14ac:dyDescent="0.25">
      <c r="A8" s="1" t="s">
        <v>8</v>
      </c>
      <c r="B8">
        <v>38.186399999999999</v>
      </c>
      <c r="C8">
        <v>-84.54468</v>
      </c>
      <c r="D8" s="4">
        <v>38.186459999999997</v>
      </c>
      <c r="E8" s="4">
        <v>-84.544600000000003</v>
      </c>
      <c r="F8" s="5" t="str">
        <f t="shared" si="0"/>
        <v xml:space="preserve"> 38° 11' 11.3"</v>
      </c>
      <c r="G8" s="5" t="str">
        <f t="shared" si="1"/>
        <v xml:space="preserve"> -85° 27' 19.4"</v>
      </c>
    </row>
    <row r="9" spans="1:7" x14ac:dyDescent="0.25">
      <c r="A9" s="1" t="s">
        <v>9</v>
      </c>
      <c r="B9">
        <v>38.186349999999997</v>
      </c>
      <c r="C9">
        <v>-84.546409999999995</v>
      </c>
      <c r="D9" s="4">
        <v>38.186410000000002</v>
      </c>
      <c r="E9" s="4">
        <v>-84.546329999999998</v>
      </c>
      <c r="F9" s="5" t="str">
        <f t="shared" si="0"/>
        <v xml:space="preserve"> 38° 11' 11.1"</v>
      </c>
      <c r="G9" s="5" t="str">
        <f t="shared" si="1"/>
        <v xml:space="preserve"> -85° 27' 13.2"</v>
      </c>
    </row>
    <row r="10" spans="1:7" x14ac:dyDescent="0.25">
      <c r="A10" s="1" t="s">
        <v>10</v>
      </c>
      <c r="B10">
        <v>38.18562</v>
      </c>
      <c r="C10">
        <v>-84.543289999999999</v>
      </c>
      <c r="D10" s="4">
        <v>38.185679999999998</v>
      </c>
      <c r="E10" s="4">
        <v>-84.543210000000002</v>
      </c>
      <c r="F10" s="5" t="str">
        <f t="shared" si="0"/>
        <v xml:space="preserve"> 38° 11' 8.4"</v>
      </c>
      <c r="G10" s="5" t="str">
        <f t="shared" si="1"/>
        <v xml:space="preserve"> -85° 27' 24.4"</v>
      </c>
    </row>
    <row r="11" spans="1:7" x14ac:dyDescent="0.25">
      <c r="A11" s="1" t="s">
        <v>11</v>
      </c>
      <c r="B11">
        <v>38.18047</v>
      </c>
      <c r="C11">
        <v>-84.524619999999999</v>
      </c>
      <c r="D11" s="4">
        <v>38.180529999999997</v>
      </c>
      <c r="E11" s="4">
        <v>-84.524540000000002</v>
      </c>
      <c r="F11" s="5" t="str">
        <f t="shared" si="0"/>
        <v xml:space="preserve"> 38° 10' 49.9"</v>
      </c>
      <c r="G11" s="5" t="str">
        <f t="shared" si="1"/>
        <v xml:space="preserve"> -85° 28' 31.7"</v>
      </c>
    </row>
    <row r="12" spans="1:7" x14ac:dyDescent="0.25">
      <c r="A12" s="1" t="s">
        <v>12</v>
      </c>
      <c r="B12">
        <v>38.180070000000001</v>
      </c>
      <c r="C12">
        <v>-84.539249999999996</v>
      </c>
      <c r="D12" s="4">
        <v>38.180129999999998</v>
      </c>
      <c r="E12" s="4">
        <v>-84.539169999999999</v>
      </c>
      <c r="F12" s="5" t="str">
        <f t="shared" si="0"/>
        <v xml:space="preserve"> 38° 10' 48.5"</v>
      </c>
      <c r="G12" s="5" t="str">
        <f t="shared" si="1"/>
        <v xml:space="preserve"> -85° 27' 39.0"</v>
      </c>
    </row>
    <row r="13" spans="1:7" x14ac:dyDescent="0.25">
      <c r="A13" s="1" t="s">
        <v>13</v>
      </c>
      <c r="B13">
        <v>38.177010000000003</v>
      </c>
      <c r="C13">
        <v>-84.525480000000002</v>
      </c>
      <c r="D13" s="4">
        <v>38.177070000000001</v>
      </c>
      <c r="E13" s="4">
        <v>-84.525400000000005</v>
      </c>
      <c r="F13" s="5" t="str">
        <f t="shared" si="0"/>
        <v xml:space="preserve"> 38° 10' 37.5"</v>
      </c>
      <c r="G13" s="5" t="str">
        <f t="shared" si="1"/>
        <v xml:space="preserve"> -85° 28' 28.6"</v>
      </c>
    </row>
    <row r="14" spans="1:7" x14ac:dyDescent="0.25">
      <c r="A14" s="1" t="s">
        <v>14</v>
      </c>
      <c r="B14">
        <v>38.17427</v>
      </c>
      <c r="C14">
        <v>-84.509370000000004</v>
      </c>
      <c r="D14" s="4">
        <v>38.174329999999998</v>
      </c>
      <c r="E14" s="4">
        <v>-84.509289999999993</v>
      </c>
      <c r="F14" s="5" t="str">
        <f t="shared" si="0"/>
        <v xml:space="preserve"> 38° 10' 27.6"</v>
      </c>
      <c r="G14" s="5" t="str">
        <f t="shared" si="1"/>
        <v xml:space="preserve"> -85° 29' 26.6"</v>
      </c>
    </row>
    <row r="15" spans="1:7" x14ac:dyDescent="0.25">
      <c r="A15" s="1" t="s">
        <v>12</v>
      </c>
      <c r="B15">
        <v>38.17427</v>
      </c>
      <c r="C15">
        <v>-84.538120000000006</v>
      </c>
      <c r="D15" s="4">
        <v>38.174329999999998</v>
      </c>
      <c r="E15" s="4">
        <v>-84.538039999999995</v>
      </c>
      <c r="F15" s="5" t="str">
        <f t="shared" si="0"/>
        <v xml:space="preserve"> 38° 10' 27.6"</v>
      </c>
      <c r="G15" s="5" t="str">
        <f t="shared" si="1"/>
        <v xml:space="preserve"> -85° 27' 43.1"</v>
      </c>
    </row>
    <row r="16" spans="1:7" x14ac:dyDescent="0.25">
      <c r="A16" s="1" t="s">
        <v>15</v>
      </c>
      <c r="B16">
        <v>38.171669999999999</v>
      </c>
      <c r="C16">
        <v>-84.533990000000003</v>
      </c>
      <c r="D16" s="4">
        <v>38.171729999999997</v>
      </c>
      <c r="E16" s="4">
        <v>-84.533910000000006</v>
      </c>
      <c r="F16" s="5" t="str">
        <f t="shared" si="0"/>
        <v xml:space="preserve"> 38° 10' 18.2"</v>
      </c>
      <c r="G16" s="5" t="str">
        <f t="shared" si="1"/>
        <v xml:space="preserve"> -85° 27' 57.9"</v>
      </c>
    </row>
    <row r="17" spans="1:7" x14ac:dyDescent="0.25">
      <c r="A17" s="1" t="s">
        <v>16</v>
      </c>
      <c r="B17">
        <v>38.171140000000001</v>
      </c>
      <c r="C17">
        <v>-84.534800000000004</v>
      </c>
      <c r="D17" s="4">
        <v>38.171199999999999</v>
      </c>
      <c r="E17" s="4">
        <v>-84.534719999999993</v>
      </c>
      <c r="F17" s="5" t="str">
        <f t="shared" si="0"/>
        <v xml:space="preserve"> 38° 10' 16.3"</v>
      </c>
      <c r="G17" s="5" t="str">
        <f t="shared" si="1"/>
        <v xml:space="preserve"> -85° 27' 55.0"</v>
      </c>
    </row>
    <row r="18" spans="1:7" x14ac:dyDescent="0.25">
      <c r="A18" s="1" t="s">
        <v>17</v>
      </c>
      <c r="B18">
        <v>38.165750000000003</v>
      </c>
      <c r="C18">
        <v>-84.53734</v>
      </c>
      <c r="D18" s="4">
        <v>38.16581</v>
      </c>
      <c r="E18" s="4">
        <v>-84.537260000000003</v>
      </c>
      <c r="F18" s="5" t="str">
        <f t="shared" si="0"/>
        <v xml:space="preserve"> 38° 9' 56.9"</v>
      </c>
      <c r="G18" s="5" t="str">
        <f t="shared" si="1"/>
        <v xml:space="preserve"> -85° 27' 45.9"</v>
      </c>
    </row>
    <row r="19" spans="1:7" x14ac:dyDescent="0.25">
      <c r="A19" s="1" t="s">
        <v>18</v>
      </c>
      <c r="B19">
        <v>38.165059999999997</v>
      </c>
      <c r="C19">
        <v>-84.53107</v>
      </c>
      <c r="D19" s="4">
        <v>38.165120000000002</v>
      </c>
      <c r="E19" s="4">
        <v>-84.530990000000003</v>
      </c>
      <c r="F19" s="5" t="str">
        <f t="shared" si="0"/>
        <v xml:space="preserve"> 38° 9' 54.4"</v>
      </c>
      <c r="G19" s="5" t="str">
        <f t="shared" si="1"/>
        <v xml:space="preserve"> -85° 28' 8.4"</v>
      </c>
    </row>
    <row r="20" spans="1:7" x14ac:dyDescent="0.25">
      <c r="A20" s="1" t="s">
        <v>17</v>
      </c>
      <c r="B20">
        <v>38.164529999999999</v>
      </c>
      <c r="C20">
        <v>-84.534660000000002</v>
      </c>
      <c r="D20" s="4">
        <v>38.164589999999997</v>
      </c>
      <c r="E20" s="4">
        <v>-84.534580000000005</v>
      </c>
      <c r="F20" s="5" t="str">
        <f t="shared" si="0"/>
        <v xml:space="preserve"> 38° 9' 52.5"</v>
      </c>
      <c r="G20" s="5" t="str">
        <f t="shared" si="1"/>
        <v xml:space="preserve"> -85° 27' 55.5"</v>
      </c>
    </row>
    <row r="21" spans="1:7" x14ac:dyDescent="0.25">
      <c r="A21" s="1" t="s">
        <v>19</v>
      </c>
      <c r="B21">
        <v>38.163519999999998</v>
      </c>
      <c r="C21">
        <v>-84.529139999999998</v>
      </c>
      <c r="D21" s="4">
        <v>38.163580000000003</v>
      </c>
      <c r="E21" s="4">
        <v>-84.529060000000001</v>
      </c>
      <c r="F21" s="5" t="str">
        <f t="shared" si="0"/>
        <v xml:space="preserve"> 38° 9' 48.9"</v>
      </c>
      <c r="G21" s="5" t="str">
        <f t="shared" si="1"/>
        <v xml:space="preserve"> -85° 28' 15.4"</v>
      </c>
    </row>
    <row r="22" spans="1:7" x14ac:dyDescent="0.25">
      <c r="A22" s="1" t="s">
        <v>19</v>
      </c>
      <c r="B22">
        <v>38.163469999999997</v>
      </c>
      <c r="C22">
        <v>-84.528679999999994</v>
      </c>
      <c r="D22" s="4">
        <v>38.163469999999997</v>
      </c>
      <c r="E22" s="4">
        <v>-84.528679999999994</v>
      </c>
      <c r="F22" s="5" t="str">
        <f t="shared" si="0"/>
        <v xml:space="preserve"> 38° 9' 48.5"</v>
      </c>
      <c r="G22" s="5" t="str">
        <f t="shared" si="1"/>
        <v xml:space="preserve"> -85° 28' 16.8"</v>
      </c>
    </row>
    <row r="23" spans="1:7" x14ac:dyDescent="0.25">
      <c r="A23" s="1" t="s">
        <v>19</v>
      </c>
      <c r="B23">
        <v>38.163359999999997</v>
      </c>
      <c r="C23">
        <v>-84.529449999999997</v>
      </c>
      <c r="D23" s="4">
        <v>38.163420000000002</v>
      </c>
      <c r="E23" s="4">
        <v>-84.52937</v>
      </c>
      <c r="F23" s="5" t="str">
        <f t="shared" si="0"/>
        <v xml:space="preserve"> 38° 9' 48.3"</v>
      </c>
      <c r="G23" s="5" t="str">
        <f t="shared" si="1"/>
        <v xml:space="preserve"> -85° 28' 14.3"</v>
      </c>
    </row>
    <row r="24" spans="1:7" x14ac:dyDescent="0.25">
      <c r="A24" s="1" t="s">
        <v>17</v>
      </c>
      <c r="B24">
        <v>38.16328</v>
      </c>
      <c r="C24">
        <v>-84.533000000000001</v>
      </c>
      <c r="D24" s="4">
        <v>38.163339999999998</v>
      </c>
      <c r="E24" s="4">
        <v>-84.532920000000004</v>
      </c>
      <c r="F24" s="5" t="str">
        <f t="shared" si="0"/>
        <v xml:space="preserve"> 38° 9' 48.0"</v>
      </c>
      <c r="G24" s="5" t="str">
        <f t="shared" si="1"/>
        <v xml:space="preserve"> -85° 28' 1.5"</v>
      </c>
    </row>
    <row r="25" spans="1:7" x14ac:dyDescent="0.25">
      <c r="A25" s="1" t="s">
        <v>20</v>
      </c>
      <c r="B25">
        <v>38.161059999999999</v>
      </c>
      <c r="C25">
        <v>-84.529200000000003</v>
      </c>
      <c r="D25" s="4">
        <v>38.161119999999997</v>
      </c>
      <c r="E25" s="4">
        <v>-84.529120000000006</v>
      </c>
      <c r="F25" s="5" t="str">
        <f t="shared" si="0"/>
        <v xml:space="preserve"> 38° 9' 40.0"</v>
      </c>
      <c r="G25" s="5" t="str">
        <f t="shared" si="1"/>
        <v xml:space="preserve"> -85° 28' 15.2"</v>
      </c>
    </row>
    <row r="26" spans="1:7" x14ac:dyDescent="0.25">
      <c r="A26" s="1" t="s">
        <v>21</v>
      </c>
      <c r="B26">
        <v>38.160319999999999</v>
      </c>
      <c r="C26">
        <v>-84.522760000000005</v>
      </c>
      <c r="D26" s="4">
        <v>38.160319999999999</v>
      </c>
      <c r="E26" s="4">
        <v>-84.522760000000005</v>
      </c>
      <c r="F26" s="5" t="str">
        <f t="shared" si="0"/>
        <v xml:space="preserve"> 38° 9' 37.2"</v>
      </c>
      <c r="G26" s="5" t="str">
        <f t="shared" si="1"/>
        <v xml:space="preserve"> -85° 28' 38.1"</v>
      </c>
    </row>
    <row r="27" spans="1:7" x14ac:dyDescent="0.25">
      <c r="A27" s="2" t="s">
        <v>22</v>
      </c>
      <c r="B27">
        <v>38.159230000000001</v>
      </c>
      <c r="C27">
        <v>-84.526510000000002</v>
      </c>
      <c r="D27" s="4">
        <v>38.159289999999999</v>
      </c>
      <c r="E27" s="4">
        <v>-84.526430000000005</v>
      </c>
      <c r="F27" s="5" t="str">
        <f t="shared" si="0"/>
        <v xml:space="preserve"> 38° 9' 33.4"</v>
      </c>
      <c r="G27" s="5" t="str">
        <f t="shared" si="1"/>
        <v xml:space="preserve"> -85° 28' 24.9"</v>
      </c>
    </row>
    <row r="28" spans="1:7" x14ac:dyDescent="0.25">
      <c r="A28" s="1" t="s">
        <v>23</v>
      </c>
      <c r="B28">
        <v>38.156059999999997</v>
      </c>
      <c r="C28">
        <v>-84.523600000000002</v>
      </c>
      <c r="D28" s="4">
        <v>38.156120000000001</v>
      </c>
      <c r="E28" s="4">
        <v>-84.523520000000005</v>
      </c>
      <c r="F28" s="5" t="str">
        <f t="shared" si="0"/>
        <v xml:space="preserve"> 38° 9' 22.0"</v>
      </c>
      <c r="G28" s="5" t="str">
        <f t="shared" si="1"/>
        <v xml:space="preserve"> -85° 28' 35.3"</v>
      </c>
    </row>
    <row r="29" spans="1:7" x14ac:dyDescent="0.25">
      <c r="A29" s="1" t="s">
        <v>23</v>
      </c>
      <c r="B29">
        <v>38.154780000000002</v>
      </c>
      <c r="C29">
        <v>-84.52328</v>
      </c>
      <c r="D29" s="4">
        <v>38.15484</v>
      </c>
      <c r="E29" s="4">
        <v>-84.523200000000003</v>
      </c>
      <c r="F29" s="5" t="str">
        <f t="shared" si="0"/>
        <v xml:space="preserve"> 38° 9' 17.4"</v>
      </c>
      <c r="G29" s="5" t="str">
        <f t="shared" si="1"/>
        <v xml:space="preserve"> -85° 28' 36.5"</v>
      </c>
    </row>
    <row r="30" spans="1:7" x14ac:dyDescent="0.25">
      <c r="A30" s="1" t="s">
        <v>23</v>
      </c>
      <c r="B30">
        <v>38.153419999999997</v>
      </c>
      <c r="C30">
        <v>-84.526179999999997</v>
      </c>
      <c r="D30" s="4">
        <v>38.153480000000002</v>
      </c>
      <c r="E30" s="4">
        <v>-84.5261</v>
      </c>
      <c r="F30" s="5" t="str">
        <f t="shared" si="0"/>
        <v xml:space="preserve"> 38° 9' 12.5"</v>
      </c>
      <c r="G30" s="5" t="str">
        <f t="shared" si="1"/>
        <v xml:space="preserve"> -85° 28' 26.0"</v>
      </c>
    </row>
    <row r="31" spans="1:7" x14ac:dyDescent="0.25">
      <c r="A31" s="1" t="s">
        <v>24</v>
      </c>
      <c r="B31">
        <v>38.152340000000002</v>
      </c>
      <c r="C31">
        <v>-84.524540000000002</v>
      </c>
      <c r="D31" s="4">
        <v>38.1524</v>
      </c>
      <c r="E31" s="4">
        <v>-84.524460000000005</v>
      </c>
      <c r="F31" s="5" t="str">
        <f t="shared" si="0"/>
        <v xml:space="preserve"> 38° 9' 8.6"</v>
      </c>
      <c r="G31" s="5" t="str">
        <f t="shared" si="1"/>
        <v xml:space="preserve"> -85° 28' 31.9"</v>
      </c>
    </row>
    <row r="32" spans="1:7" x14ac:dyDescent="0.25">
      <c r="A32" s="1" t="s">
        <v>24</v>
      </c>
      <c r="B32">
        <v>38.151629999999997</v>
      </c>
      <c r="C32">
        <v>-84.524969999999996</v>
      </c>
      <c r="D32" s="4">
        <v>38.151690000000002</v>
      </c>
      <c r="E32" s="4">
        <v>-84.524889999999999</v>
      </c>
      <c r="F32" s="5" t="str">
        <f t="shared" si="0"/>
        <v xml:space="preserve"> 38° 9' 6.1"</v>
      </c>
      <c r="G32" s="5" t="str">
        <f t="shared" si="1"/>
        <v xml:space="preserve"> -85° 28' 30.4"</v>
      </c>
    </row>
    <row r="33" spans="1:7" x14ac:dyDescent="0.25">
      <c r="A33" s="1" t="s">
        <v>25</v>
      </c>
      <c r="B33">
        <v>38.150410000000001</v>
      </c>
      <c r="C33">
        <v>-84.523769999999999</v>
      </c>
      <c r="D33" s="4">
        <v>38.150469999999999</v>
      </c>
      <c r="E33" s="4">
        <v>-84.523769999999999</v>
      </c>
      <c r="F33" s="5" t="str">
        <f t="shared" si="0"/>
        <v xml:space="preserve"> 38° 9' 1.7"</v>
      </c>
      <c r="G33" s="5" t="str">
        <f t="shared" si="1"/>
        <v xml:space="preserve"> -85° 28' 34.4"</v>
      </c>
    </row>
    <row r="34" spans="1:7" x14ac:dyDescent="0.25">
      <c r="A34" s="1" t="s">
        <v>26</v>
      </c>
      <c r="B34">
        <v>38.150399999999998</v>
      </c>
      <c r="C34">
        <v>-84.524330000000006</v>
      </c>
      <c r="D34" s="4">
        <v>38.150460000000002</v>
      </c>
      <c r="E34" s="4">
        <v>-84.524249999999995</v>
      </c>
      <c r="F34" s="5" t="str">
        <f t="shared" si="0"/>
        <v xml:space="preserve"> 38° 9' 1.7"</v>
      </c>
      <c r="G34" s="5" t="str">
        <f t="shared" si="1"/>
        <v xml:space="preserve"> -85° 28' 32.7"</v>
      </c>
    </row>
    <row r="35" spans="1:7" x14ac:dyDescent="0.25">
      <c r="A35" s="1" t="s">
        <v>24</v>
      </c>
      <c r="B35" s="3">
        <v>38.150329999999997</v>
      </c>
      <c r="C35">
        <v>-84.523539999999997</v>
      </c>
      <c r="D35" s="4">
        <v>38.150390000000002</v>
      </c>
      <c r="E35" s="4">
        <v>-84.52346</v>
      </c>
      <c r="F35" s="5" t="str">
        <f t="shared" si="0"/>
        <v xml:space="preserve"> 38° 9' 1.4"</v>
      </c>
      <c r="G35" s="5" t="str">
        <f t="shared" si="1"/>
        <v xml:space="preserve"> -85° 28' 35.5"</v>
      </c>
    </row>
    <row r="36" spans="1:7" x14ac:dyDescent="0.25">
      <c r="A36" s="1" t="s">
        <v>24</v>
      </c>
      <c r="B36">
        <v>38.149230000000003</v>
      </c>
      <c r="C36">
        <v>-84.522810000000007</v>
      </c>
      <c r="D36" s="4">
        <v>38.149290000000001</v>
      </c>
      <c r="E36" s="4">
        <v>-84.522729999999996</v>
      </c>
      <c r="F36" s="5" t="str">
        <f t="shared" si="0"/>
        <v xml:space="preserve"> 38° 8' 57.4"</v>
      </c>
      <c r="G36" s="5" t="str">
        <f t="shared" si="1"/>
        <v xml:space="preserve"> -85° 28' 38.2"</v>
      </c>
    </row>
    <row r="37" spans="1:7" x14ac:dyDescent="0.25">
      <c r="A37" s="1" t="s">
        <v>24</v>
      </c>
      <c r="B37">
        <v>38.147649999999999</v>
      </c>
      <c r="C37">
        <v>-84.520619999999994</v>
      </c>
      <c r="D37" s="4">
        <v>38.147709999999996</v>
      </c>
      <c r="E37" s="4">
        <v>-84.520539999999997</v>
      </c>
      <c r="F37" s="5" t="str">
        <f t="shared" si="0"/>
        <v xml:space="preserve"> 38° 8' 51.8"</v>
      </c>
      <c r="G37" s="5" t="str">
        <f t="shared" si="1"/>
        <v xml:space="preserve"> -85° 28' 46.1"</v>
      </c>
    </row>
    <row r="38" spans="1:7" x14ac:dyDescent="0.25">
      <c r="A38" s="1" t="s">
        <v>24</v>
      </c>
      <c r="B38">
        <v>38.14752</v>
      </c>
      <c r="C38">
        <v>-84.520619999999994</v>
      </c>
      <c r="D38" s="4">
        <v>38.147579999999998</v>
      </c>
      <c r="E38" s="4">
        <v>-84.520539999999997</v>
      </c>
      <c r="F38" s="5" t="str">
        <f t="shared" si="0"/>
        <v xml:space="preserve"> 38° 8' 51.3"</v>
      </c>
      <c r="G38" s="5" t="str">
        <f t="shared" si="1"/>
        <v xml:space="preserve"> -85° 28' 46.1"</v>
      </c>
    </row>
    <row r="39" spans="1:7" x14ac:dyDescent="0.25">
      <c r="A39" s="1" t="s">
        <v>24</v>
      </c>
      <c r="B39">
        <v>38.147410000000001</v>
      </c>
      <c r="C39">
        <v>-84.520650000000003</v>
      </c>
      <c r="D39" s="4">
        <v>38.147469999999998</v>
      </c>
      <c r="E39" s="4">
        <v>-84.520570000000006</v>
      </c>
      <c r="F39" s="5" t="str">
        <f t="shared" si="0"/>
        <v xml:space="preserve"> 38° 8' 50.9"</v>
      </c>
      <c r="G39" s="5" t="str">
        <f t="shared" si="1"/>
        <v xml:space="preserve"> -85° 28' 45.9"</v>
      </c>
    </row>
    <row r="40" spans="1:7" x14ac:dyDescent="0.25">
      <c r="A40" s="1" t="s">
        <v>27</v>
      </c>
      <c r="B40">
        <v>38.147179999999999</v>
      </c>
      <c r="C40">
        <v>-84.520619999999994</v>
      </c>
      <c r="D40" s="4">
        <v>38.147239999999996</v>
      </c>
      <c r="E40" s="4">
        <v>-84.520539999999997</v>
      </c>
      <c r="F40" s="5" t="str">
        <f t="shared" si="0"/>
        <v xml:space="preserve"> 38° 8' 50.1"</v>
      </c>
      <c r="G40" s="5" t="str">
        <f t="shared" si="1"/>
        <v xml:space="preserve"> -85° 28' 46.1"</v>
      </c>
    </row>
    <row r="41" spans="1:7" x14ac:dyDescent="0.25">
      <c r="A41" s="1" t="s">
        <v>24</v>
      </c>
      <c r="B41">
        <v>38.146650000000001</v>
      </c>
      <c r="C41">
        <v>-84.52055</v>
      </c>
      <c r="D41" s="4">
        <v>38.146709999999999</v>
      </c>
      <c r="E41" s="4">
        <v>-84.520470000000003</v>
      </c>
      <c r="F41" s="5" t="str">
        <f t="shared" si="0"/>
        <v xml:space="preserve"> 38° 8' 48.2"</v>
      </c>
      <c r="G41" s="5" t="str">
        <f t="shared" si="1"/>
        <v xml:space="preserve"> -85° 28' 46.3"</v>
      </c>
    </row>
    <row r="42" spans="1:7" x14ac:dyDescent="0.25">
      <c r="A42" s="1" t="s">
        <v>23</v>
      </c>
      <c r="B42">
        <v>38.145510000000002</v>
      </c>
      <c r="C42">
        <v>-84.520510000000002</v>
      </c>
      <c r="D42" s="4">
        <v>38.145569999999999</v>
      </c>
      <c r="E42" s="4">
        <v>-84.520430000000005</v>
      </c>
      <c r="F42" s="5" t="str">
        <f t="shared" si="0"/>
        <v xml:space="preserve"> 38° 8' 44.1"</v>
      </c>
      <c r="G42" s="5" t="str">
        <f t="shared" si="1"/>
        <v xml:space="preserve"> -85° 28' 46.5"</v>
      </c>
    </row>
    <row r="43" spans="1:7" x14ac:dyDescent="0.25">
      <c r="A43" s="1" t="s">
        <v>24</v>
      </c>
      <c r="B43">
        <v>38.143920000000001</v>
      </c>
      <c r="C43">
        <v>-84.519090000000006</v>
      </c>
      <c r="D43" s="4">
        <v>38.143979999999999</v>
      </c>
      <c r="E43" s="4">
        <v>-84.519009999999994</v>
      </c>
      <c r="F43" s="5" t="str">
        <f t="shared" si="0"/>
        <v xml:space="preserve"> 38° 8' 38.3"</v>
      </c>
      <c r="G43" s="5" t="str">
        <f t="shared" si="1"/>
        <v xml:space="preserve"> -85° 28' 51.6"</v>
      </c>
    </row>
    <row r="44" spans="1:7" x14ac:dyDescent="0.25">
      <c r="A44" s="1" t="s">
        <v>24</v>
      </c>
      <c r="B44">
        <v>38.143520000000002</v>
      </c>
      <c r="C44">
        <v>-84.519580000000005</v>
      </c>
      <c r="D44" s="4">
        <v>38.143520000000002</v>
      </c>
      <c r="E44" s="4">
        <v>-84.519580000000005</v>
      </c>
      <c r="F44" s="5" t="str">
        <f t="shared" si="0"/>
        <v xml:space="preserve"> 38° 8' 36.7"</v>
      </c>
      <c r="G44" s="5" t="str">
        <f t="shared" si="1"/>
        <v xml:space="preserve"> -85° 28' 49.5"</v>
      </c>
    </row>
    <row r="45" spans="1:7" x14ac:dyDescent="0.25">
      <c r="A45" s="1" t="s">
        <v>24</v>
      </c>
      <c r="B45">
        <v>38.142510000000001</v>
      </c>
      <c r="C45">
        <v>-84.518619999999999</v>
      </c>
      <c r="D45" s="4">
        <v>38.142569999999999</v>
      </c>
      <c r="E45" s="4">
        <v>-84.518540000000002</v>
      </c>
      <c r="F45" s="5" t="str">
        <f t="shared" si="0"/>
        <v xml:space="preserve"> 38° 8' 33.3"</v>
      </c>
      <c r="G45" s="5" t="str">
        <f t="shared" si="1"/>
        <v xml:space="preserve"> -85° 28' 53.3"</v>
      </c>
    </row>
    <row r="46" spans="1:7" x14ac:dyDescent="0.25">
      <c r="A46" s="1" t="s">
        <v>28</v>
      </c>
      <c r="B46">
        <v>38.141599999999997</v>
      </c>
      <c r="C46">
        <v>-84.520420000000001</v>
      </c>
      <c r="D46" s="4">
        <v>38.141660000000002</v>
      </c>
      <c r="E46" s="4">
        <v>-84.520340000000004</v>
      </c>
      <c r="F46" s="5" t="str">
        <f t="shared" si="0"/>
        <v xml:space="preserve"> 38° 8' 30.0"</v>
      </c>
      <c r="G46" s="5" t="str">
        <f t="shared" si="1"/>
        <v xml:space="preserve"> -85° 28' 46.8"</v>
      </c>
    </row>
    <row r="47" spans="1:7" x14ac:dyDescent="0.25">
      <c r="A47" s="1" t="s">
        <v>24</v>
      </c>
      <c r="B47">
        <v>38.14141</v>
      </c>
      <c r="C47">
        <v>-84.517690000000002</v>
      </c>
      <c r="D47" s="4">
        <v>38.141469999999998</v>
      </c>
      <c r="E47" s="4">
        <v>-84.517610000000005</v>
      </c>
      <c r="F47" s="5" t="str">
        <f t="shared" si="0"/>
        <v xml:space="preserve"> 38° 8' 29.3"</v>
      </c>
      <c r="G47" s="5" t="str">
        <f t="shared" si="1"/>
        <v xml:space="preserve"> -85° 28' 56.6"</v>
      </c>
    </row>
    <row r="48" spans="1:7" x14ac:dyDescent="0.25">
      <c r="A48" s="1" t="s">
        <v>24</v>
      </c>
      <c r="B48">
        <v>38.140940000000001</v>
      </c>
      <c r="C48">
        <v>-84.517790000000005</v>
      </c>
      <c r="D48" s="4">
        <v>38.140940000000001</v>
      </c>
      <c r="E48" s="4">
        <v>-84.517790000000005</v>
      </c>
      <c r="F48" s="5" t="str">
        <f t="shared" si="0"/>
        <v xml:space="preserve"> 38° 8' 27.4"</v>
      </c>
      <c r="G48" s="5" t="str">
        <f t="shared" si="1"/>
        <v xml:space="preserve"> -85° 28' 56.0"</v>
      </c>
    </row>
    <row r="49" spans="1:7" x14ac:dyDescent="0.25">
      <c r="A49" s="1" t="s">
        <v>29</v>
      </c>
      <c r="B49">
        <v>38.137090000000001</v>
      </c>
      <c r="C49">
        <v>-84.515129999999999</v>
      </c>
      <c r="D49" s="4">
        <v>38.137149999999998</v>
      </c>
      <c r="E49" s="4">
        <v>-84.515050000000002</v>
      </c>
      <c r="F49" s="5" t="str">
        <f t="shared" si="0"/>
        <v xml:space="preserve"> 38° 8' 13.7"</v>
      </c>
      <c r="G49" s="5" t="str">
        <f t="shared" si="1"/>
        <v xml:space="preserve"> -85° 29' 5.8"</v>
      </c>
    </row>
    <row r="50" spans="1:7" x14ac:dyDescent="0.25">
      <c r="A50" s="1" t="s">
        <v>12</v>
      </c>
      <c r="B50">
        <v>38.13617</v>
      </c>
      <c r="C50">
        <v>-84.515339999999995</v>
      </c>
      <c r="D50" s="4">
        <v>38.136229999999998</v>
      </c>
      <c r="E50" s="4">
        <v>-84.515259999999998</v>
      </c>
      <c r="F50" s="5" t="str">
        <f t="shared" si="0"/>
        <v xml:space="preserve"> 38° 8' 10.4"</v>
      </c>
      <c r="G50" s="5" t="str">
        <f t="shared" si="1"/>
        <v xml:space="preserve"> -85° 29' 5.1"</v>
      </c>
    </row>
    <row r="51" spans="1:7" x14ac:dyDescent="0.25">
      <c r="A51" s="1" t="s">
        <v>30</v>
      </c>
      <c r="B51">
        <v>38.13456</v>
      </c>
      <c r="C51">
        <v>-84.512640000000005</v>
      </c>
      <c r="D51" s="4">
        <v>38.134619999999998</v>
      </c>
      <c r="E51" s="4">
        <v>-84.512559999999993</v>
      </c>
      <c r="F51" s="5" t="str">
        <f t="shared" si="0"/>
        <v xml:space="preserve"> 38° 8' 4.6"</v>
      </c>
      <c r="G51" s="5" t="str">
        <f t="shared" si="1"/>
        <v xml:space="preserve"> -85° 29' 14.8"</v>
      </c>
    </row>
    <row r="52" spans="1:7" x14ac:dyDescent="0.25">
      <c r="A52" s="1" t="s">
        <v>31</v>
      </c>
      <c r="B52">
        <v>38.134320000000002</v>
      </c>
      <c r="C52">
        <v>-84.513300000000001</v>
      </c>
      <c r="D52" s="4">
        <v>38.13438</v>
      </c>
      <c r="E52" s="4">
        <v>-84.513220000000004</v>
      </c>
      <c r="F52" s="5" t="str">
        <f t="shared" si="0"/>
        <v xml:space="preserve"> 38° 8' 3.8"</v>
      </c>
      <c r="G52" s="5" t="str">
        <f t="shared" si="1"/>
        <v xml:space="preserve"> -85° 29' 12.4"</v>
      </c>
    </row>
    <row r="53" spans="1:7" x14ac:dyDescent="0.25">
      <c r="A53" s="1" t="s">
        <v>31</v>
      </c>
      <c r="B53">
        <v>38.13391</v>
      </c>
      <c r="C53">
        <v>-84.513009999999994</v>
      </c>
      <c r="D53" s="4">
        <v>38.133969999999998</v>
      </c>
      <c r="E53" s="4">
        <v>-84.512929999999997</v>
      </c>
      <c r="F53" s="5" t="str">
        <f t="shared" si="0"/>
        <v xml:space="preserve"> 38° 8' 2.3"</v>
      </c>
      <c r="G53" s="5" t="str">
        <f t="shared" si="1"/>
        <v xml:space="preserve"> -85° 29' 13.5"</v>
      </c>
    </row>
    <row r="54" spans="1:7" x14ac:dyDescent="0.25">
      <c r="A54" s="1" t="s">
        <v>32</v>
      </c>
      <c r="B54">
        <v>38.133650000000003</v>
      </c>
      <c r="C54">
        <v>-84.512770000000003</v>
      </c>
      <c r="D54" s="4">
        <v>38.133710000000001</v>
      </c>
      <c r="E54" s="4">
        <v>-84.512690000000006</v>
      </c>
      <c r="F54" s="5" t="str">
        <f t="shared" si="0"/>
        <v xml:space="preserve"> 38° 8' 1.4"</v>
      </c>
      <c r="G54" s="5" t="str">
        <f t="shared" si="1"/>
        <v xml:space="preserve"> -85° 29' 14.3"</v>
      </c>
    </row>
    <row r="55" spans="1:7" x14ac:dyDescent="0.25">
      <c r="A55" s="1" t="s">
        <v>33</v>
      </c>
      <c r="B55">
        <v>38.125360000000001</v>
      </c>
      <c r="C55">
        <v>-84.516159999999999</v>
      </c>
      <c r="D55" s="4">
        <v>38.125419999999998</v>
      </c>
      <c r="E55" s="4">
        <v>-84.516080000000002</v>
      </c>
      <c r="F55" s="5" t="str">
        <f t="shared" si="0"/>
        <v xml:space="preserve"> 38° 7' 31.5"</v>
      </c>
      <c r="G55" s="5" t="str">
        <f t="shared" si="1"/>
        <v xml:space="preserve"> -85° 29' 2.1"</v>
      </c>
    </row>
    <row r="56" spans="1:7" x14ac:dyDescent="0.25">
      <c r="A56" s="1" t="s">
        <v>34</v>
      </c>
      <c r="B56">
        <v>38.123260000000002</v>
      </c>
      <c r="C56">
        <v>-84.514229999999998</v>
      </c>
      <c r="D56" s="4">
        <v>38.12332</v>
      </c>
      <c r="E56" s="4">
        <v>-84.514150000000001</v>
      </c>
      <c r="F56" s="5" t="str">
        <f t="shared" si="0"/>
        <v xml:space="preserve"> 38° 7' 24.0"</v>
      </c>
      <c r="G56" s="5" t="str">
        <f t="shared" si="1"/>
        <v xml:space="preserve"> -85° 29' 9.1"</v>
      </c>
    </row>
    <row r="57" spans="1:7" x14ac:dyDescent="0.25">
      <c r="A57" s="1" t="s">
        <v>35</v>
      </c>
      <c r="B57">
        <v>38.122610000000002</v>
      </c>
      <c r="C57">
        <v>-84.513559999999998</v>
      </c>
      <c r="D57" s="4">
        <v>38.122669999999999</v>
      </c>
      <c r="E57" s="4">
        <v>-84.513480000000001</v>
      </c>
      <c r="F57" s="5" t="str">
        <f t="shared" si="0"/>
        <v xml:space="preserve"> 38° 7' 21.6"</v>
      </c>
      <c r="G57" s="5" t="str">
        <f t="shared" si="1"/>
        <v xml:space="preserve"> -85° 29' 11.5"</v>
      </c>
    </row>
    <row r="58" spans="1:7" x14ac:dyDescent="0.25">
      <c r="A58" s="1" t="s">
        <v>36</v>
      </c>
      <c r="B58">
        <v>38.122140000000002</v>
      </c>
      <c r="C58">
        <v>-84.513890000000004</v>
      </c>
      <c r="D58" s="4">
        <v>38.122199999999999</v>
      </c>
      <c r="E58" s="4">
        <v>-84.513810000000007</v>
      </c>
      <c r="F58" s="5" t="str">
        <f t="shared" si="0"/>
        <v xml:space="preserve"> 38° 7' 19.9"</v>
      </c>
      <c r="G58" s="5" t="str">
        <f t="shared" si="1"/>
        <v xml:space="preserve"> -85° 29' 10.3"</v>
      </c>
    </row>
    <row r="59" spans="1:7" x14ac:dyDescent="0.25">
      <c r="A59" s="1" t="s">
        <v>37</v>
      </c>
      <c r="B59">
        <v>38.115540000000003</v>
      </c>
      <c r="C59">
        <v>-84.506879999999995</v>
      </c>
      <c r="D59" s="4">
        <v>38.115600000000001</v>
      </c>
      <c r="E59" s="4">
        <v>-84.506799999999998</v>
      </c>
      <c r="F59" s="5" t="str">
        <f t="shared" si="0"/>
        <v xml:space="preserve"> 38° 6' 56.2"</v>
      </c>
      <c r="G59" s="5" t="str">
        <f t="shared" si="1"/>
        <v xml:space="preserve"> -85° 29' 35.5"</v>
      </c>
    </row>
    <row r="60" spans="1:7" x14ac:dyDescent="0.25">
      <c r="A60" s="1" t="s">
        <v>38</v>
      </c>
      <c r="B60">
        <v>38.114400000000003</v>
      </c>
      <c r="C60">
        <v>-84.505409999999998</v>
      </c>
      <c r="D60" s="4">
        <v>38.114460000000001</v>
      </c>
      <c r="E60" s="4">
        <v>-84.505330000000001</v>
      </c>
      <c r="F60" s="5" t="str">
        <f t="shared" si="0"/>
        <v xml:space="preserve"> 38° 6' 52.1"</v>
      </c>
      <c r="G60" s="5" t="str">
        <f t="shared" si="1"/>
        <v xml:space="preserve"> -85° 29' 40.8"</v>
      </c>
    </row>
    <row r="61" spans="1:7" x14ac:dyDescent="0.25">
      <c r="A61" s="1" t="s">
        <v>39</v>
      </c>
      <c r="B61">
        <v>38.111089999999997</v>
      </c>
      <c r="C61">
        <v>-84.506630000000001</v>
      </c>
      <c r="D61" s="4">
        <v>38.111150000000002</v>
      </c>
      <c r="E61" s="4">
        <v>-84.506550000000004</v>
      </c>
      <c r="F61" s="5" t="str">
        <f t="shared" si="0"/>
        <v xml:space="preserve"> 38° 6' 40.1"</v>
      </c>
      <c r="G61" s="5" t="str">
        <f t="shared" si="1"/>
        <v xml:space="preserve"> -85° 29' 36.4"</v>
      </c>
    </row>
    <row r="62" spans="1:7" x14ac:dyDescent="0.25">
      <c r="A62" s="1" t="s">
        <v>40</v>
      </c>
      <c r="B62">
        <v>38.108580000000003</v>
      </c>
      <c r="C62">
        <v>-84.501270000000005</v>
      </c>
      <c r="D62" s="4">
        <v>38.108640000000001</v>
      </c>
      <c r="E62" s="4">
        <v>-84.501189999999994</v>
      </c>
      <c r="F62" s="5" t="str">
        <f t="shared" si="0"/>
        <v xml:space="preserve"> 38° 6' 31.1"</v>
      </c>
      <c r="G62" s="5" t="str">
        <f t="shared" si="1"/>
        <v xml:space="preserve"> -85° 29' 55.7"</v>
      </c>
    </row>
    <row r="63" spans="1:7" x14ac:dyDescent="0.25">
      <c r="A63" s="1" t="s">
        <v>41</v>
      </c>
      <c r="B63">
        <v>38.108170000000001</v>
      </c>
      <c r="C63">
        <v>-84.501429999999999</v>
      </c>
      <c r="D63" s="4">
        <v>38.108229999999999</v>
      </c>
      <c r="E63" s="4">
        <v>-84.501350000000002</v>
      </c>
      <c r="F63" s="5" t="str">
        <f t="shared" si="0"/>
        <v xml:space="preserve"> 38° 6' 29.6"</v>
      </c>
      <c r="G63" s="5" t="str">
        <f t="shared" si="1"/>
        <v xml:space="preserve"> -85° 29' 55.1"</v>
      </c>
    </row>
    <row r="64" spans="1:7" x14ac:dyDescent="0.25">
      <c r="A64" s="1" t="s">
        <v>40</v>
      </c>
      <c r="B64">
        <v>38.107439999999997</v>
      </c>
      <c r="C64">
        <v>-84.499939999999995</v>
      </c>
      <c r="D64" s="4">
        <v>38.107500000000002</v>
      </c>
      <c r="E64" s="4">
        <v>-84.499859999999998</v>
      </c>
      <c r="F64" s="5" t="str">
        <f t="shared" si="0"/>
        <v xml:space="preserve"> 38° 6' 27.0"</v>
      </c>
      <c r="G64" s="5" t="str">
        <f t="shared" si="1"/>
        <v xml:space="preserve"> -85° 30' 0.5"</v>
      </c>
    </row>
    <row r="65" spans="1:7" x14ac:dyDescent="0.25">
      <c r="A65" s="1" t="s">
        <v>41</v>
      </c>
      <c r="B65">
        <v>38.107340000000001</v>
      </c>
      <c r="C65">
        <v>-84.501649999999998</v>
      </c>
      <c r="D65" s="4">
        <v>38.107399999999998</v>
      </c>
      <c r="E65" s="4">
        <v>-84.501570000000001</v>
      </c>
      <c r="F65" s="5" t="str">
        <f t="shared" si="0"/>
        <v xml:space="preserve"> 38° 6' 26.6"</v>
      </c>
      <c r="G65" s="5" t="str">
        <f t="shared" si="1"/>
        <v xml:space="preserve"> -85° 29' 54.3"</v>
      </c>
    </row>
    <row r="66" spans="1:7" x14ac:dyDescent="0.25">
      <c r="A66" s="1" t="s">
        <v>42</v>
      </c>
      <c r="B66">
        <v>38.105490000000003</v>
      </c>
      <c r="C66">
        <v>-84.498130000000003</v>
      </c>
      <c r="D66" s="4">
        <v>38.105550000000001</v>
      </c>
      <c r="E66" s="4">
        <v>-84.498050000000006</v>
      </c>
      <c r="F66" s="5" t="str">
        <f t="shared" si="0"/>
        <v xml:space="preserve"> 38° 6' 20.0"</v>
      </c>
      <c r="G66" s="5" t="str">
        <f t="shared" si="1"/>
        <v xml:space="preserve"> -85° 30' 7.0"</v>
      </c>
    </row>
    <row r="67" spans="1:7" x14ac:dyDescent="0.25">
      <c r="A67" s="1" t="s">
        <v>43</v>
      </c>
      <c r="B67">
        <v>38.103360000000002</v>
      </c>
      <c r="C67">
        <v>-84.498320000000007</v>
      </c>
      <c r="D67" s="4">
        <v>38.10342</v>
      </c>
      <c r="E67" s="4">
        <v>-84.498239999999996</v>
      </c>
      <c r="F67" s="5" t="str">
        <f t="shared" ref="F67:F83" si="2">Convert_Degree(D67)</f>
        <v xml:space="preserve"> 38° 6' 12.3"</v>
      </c>
      <c r="G67" s="5" t="str">
        <f t="shared" si="1"/>
        <v xml:space="preserve"> -85° 30' 6.3"</v>
      </c>
    </row>
    <row r="68" spans="1:7" x14ac:dyDescent="0.25">
      <c r="A68" s="1" t="s">
        <v>44</v>
      </c>
      <c r="B68">
        <v>38.101509999999998</v>
      </c>
      <c r="C68">
        <v>-84.485860000000002</v>
      </c>
      <c r="D68" s="4">
        <v>38.101570000000002</v>
      </c>
      <c r="E68" s="4">
        <v>-84.485780000000005</v>
      </c>
      <c r="F68" s="5" t="str">
        <f t="shared" si="2"/>
        <v xml:space="preserve"> 38° 6' 5.7"</v>
      </c>
      <c r="G68" s="5" t="str">
        <f t="shared" ref="G68:G83" si="3">Convert_Degree(E68)</f>
        <v xml:space="preserve"> -85° 30' 51.2"</v>
      </c>
    </row>
    <row r="69" spans="1:7" x14ac:dyDescent="0.25">
      <c r="A69" s="1" t="s">
        <v>43</v>
      </c>
      <c r="B69">
        <v>38.100900000000003</v>
      </c>
      <c r="C69">
        <v>-84.497659999999996</v>
      </c>
      <c r="D69" s="4">
        <v>38.100963</v>
      </c>
      <c r="E69" s="4">
        <v>-84.497579999999999</v>
      </c>
      <c r="F69" s="5" t="str">
        <f t="shared" si="2"/>
        <v xml:space="preserve"> 38° 6' 3.5"</v>
      </c>
      <c r="G69" s="5" t="str">
        <f t="shared" si="3"/>
        <v xml:space="preserve"> -85° 30' 8.7"</v>
      </c>
    </row>
    <row r="70" spans="1:7" x14ac:dyDescent="0.25">
      <c r="A70" s="1" t="s">
        <v>45</v>
      </c>
      <c r="B70">
        <v>38.099620000000002</v>
      </c>
      <c r="C70">
        <v>-84.497979999999998</v>
      </c>
      <c r="D70" s="4">
        <v>38.099679999999999</v>
      </c>
      <c r="E70" s="4">
        <v>-84.497900000000001</v>
      </c>
      <c r="F70" s="5" t="str">
        <f t="shared" si="2"/>
        <v xml:space="preserve"> 38° 5' 58.8"</v>
      </c>
      <c r="G70" s="5" t="str">
        <f t="shared" si="3"/>
        <v xml:space="preserve"> -85° 30' 7.6"</v>
      </c>
    </row>
    <row r="71" spans="1:7" x14ac:dyDescent="0.25">
      <c r="A71" s="1" t="s">
        <v>45</v>
      </c>
      <c r="B71">
        <v>38.09684</v>
      </c>
      <c r="C71">
        <v>-84.500050000000002</v>
      </c>
      <c r="D71" s="4">
        <v>38.096899999999998</v>
      </c>
      <c r="E71" s="4">
        <v>-84.499700000000004</v>
      </c>
      <c r="F71" s="5" t="str">
        <f t="shared" si="2"/>
        <v xml:space="preserve"> 38° 5' 48.8"</v>
      </c>
      <c r="G71" s="5" t="str">
        <f t="shared" si="3"/>
        <v xml:space="preserve"> -85° 30' 1.1"</v>
      </c>
    </row>
    <row r="72" spans="1:7" x14ac:dyDescent="0.25">
      <c r="A72" s="1" t="s">
        <v>45</v>
      </c>
      <c r="B72">
        <v>38.092959999999998</v>
      </c>
      <c r="C72">
        <v>-84.50067</v>
      </c>
      <c r="D72" s="4">
        <v>38.093020000000003</v>
      </c>
      <c r="E72" s="4">
        <v>-84.500590000000003</v>
      </c>
      <c r="F72" s="5" t="str">
        <f t="shared" si="2"/>
        <v xml:space="preserve"> 38° 5' 34.9"</v>
      </c>
      <c r="G72" s="5" t="str">
        <f t="shared" si="3"/>
        <v xml:space="preserve"> -85° 29' 57.9"</v>
      </c>
    </row>
    <row r="73" spans="1:7" x14ac:dyDescent="0.25">
      <c r="A73" s="1" t="s">
        <v>24</v>
      </c>
      <c r="B73">
        <v>38.09008</v>
      </c>
      <c r="C73">
        <v>-84.500529999999998</v>
      </c>
      <c r="D73" s="4">
        <v>38.090139999999998</v>
      </c>
      <c r="E73" s="4">
        <v>-84.500450000000001</v>
      </c>
      <c r="F73" s="5" t="str">
        <f t="shared" si="2"/>
        <v xml:space="preserve"> 38° 5' 24.5"</v>
      </c>
      <c r="G73" s="5" t="str">
        <f t="shared" si="3"/>
        <v xml:space="preserve"> -85° 29' 58.4"</v>
      </c>
    </row>
    <row r="74" spans="1:7" x14ac:dyDescent="0.25">
      <c r="A74" s="1" t="s">
        <v>12</v>
      </c>
      <c r="B74">
        <v>38.08616</v>
      </c>
      <c r="C74">
        <v>-84.504720000000006</v>
      </c>
      <c r="D74" s="4">
        <v>38.086219999999997</v>
      </c>
      <c r="E74" s="4">
        <v>-84.504639999999995</v>
      </c>
      <c r="F74" s="5" t="str">
        <f t="shared" si="2"/>
        <v xml:space="preserve"> 38° 5' 10.4"</v>
      </c>
      <c r="G74" s="5" t="str">
        <f t="shared" si="3"/>
        <v xml:space="preserve"> -85° 29' 43.3"</v>
      </c>
    </row>
    <row r="75" spans="1:7" x14ac:dyDescent="0.25">
      <c r="A75" s="1" t="s">
        <v>46</v>
      </c>
      <c r="B75">
        <v>38.083500000000001</v>
      </c>
      <c r="C75">
        <v>-84.49494</v>
      </c>
      <c r="D75" s="4">
        <v>38.083559999999999</v>
      </c>
      <c r="E75" s="4">
        <v>-84.494860000000003</v>
      </c>
      <c r="F75" s="5" t="str">
        <f t="shared" si="2"/>
        <v xml:space="preserve"> 38° 5' 0.8"</v>
      </c>
      <c r="G75" s="5" t="str">
        <f t="shared" si="3"/>
        <v xml:space="preserve"> -85° 30' 18.5"</v>
      </c>
    </row>
    <row r="76" spans="1:7" x14ac:dyDescent="0.25">
      <c r="A76" s="1" t="s">
        <v>47</v>
      </c>
      <c r="B76">
        <v>38.079569999999997</v>
      </c>
      <c r="C76">
        <v>-84.498230000000007</v>
      </c>
      <c r="D76" s="4">
        <v>38.079630000000002</v>
      </c>
      <c r="E76" s="4">
        <v>-84.498149999999995</v>
      </c>
      <c r="F76" s="5" t="str">
        <f t="shared" si="2"/>
        <v xml:space="preserve"> 38° 4' 46.7"</v>
      </c>
      <c r="G76" s="5" t="str">
        <f t="shared" si="3"/>
        <v xml:space="preserve"> -85° 30' 6.7"</v>
      </c>
    </row>
    <row r="77" spans="1:7" x14ac:dyDescent="0.25">
      <c r="A77" s="1" t="s">
        <v>48</v>
      </c>
      <c r="B77">
        <v>38.07873</v>
      </c>
      <c r="C77">
        <v>-84.490319999999997</v>
      </c>
      <c r="D77" s="4">
        <v>38.078789999999998</v>
      </c>
      <c r="E77" s="4">
        <v>-84.49024</v>
      </c>
      <c r="F77" s="5" t="str">
        <f t="shared" si="2"/>
        <v xml:space="preserve"> 38° 4' 43.6"</v>
      </c>
      <c r="G77" s="5" t="str">
        <f t="shared" si="3"/>
        <v xml:space="preserve"> -85° 30' 35.1"</v>
      </c>
    </row>
    <row r="78" spans="1:7" x14ac:dyDescent="0.25">
      <c r="A78" s="1" t="s">
        <v>48</v>
      </c>
      <c r="B78">
        <v>38.07864</v>
      </c>
      <c r="C78">
        <v>-84.490200000000002</v>
      </c>
      <c r="D78" s="4">
        <v>38.078699999999998</v>
      </c>
      <c r="E78" s="4">
        <v>-84.490120000000005</v>
      </c>
      <c r="F78" s="5" t="str">
        <f t="shared" si="2"/>
        <v xml:space="preserve"> 38° 4' 43.3"</v>
      </c>
      <c r="G78" s="5" t="str">
        <f t="shared" si="3"/>
        <v xml:space="preserve"> -85° 30' 35.6"</v>
      </c>
    </row>
    <row r="79" spans="1:7" x14ac:dyDescent="0.25">
      <c r="A79" s="1" t="s">
        <v>48</v>
      </c>
      <c r="B79">
        <v>38.077710000000003</v>
      </c>
      <c r="C79">
        <v>-84.489680000000007</v>
      </c>
      <c r="D79" s="4">
        <v>38.077770000000001</v>
      </c>
      <c r="E79" s="4">
        <v>-84.489599999999996</v>
      </c>
      <c r="F79" s="5" t="str">
        <f t="shared" si="2"/>
        <v xml:space="preserve"> 38° 4' 40.0"</v>
      </c>
      <c r="G79" s="5" t="str">
        <f t="shared" si="3"/>
        <v xml:space="preserve"> -85° 30' 37.4"</v>
      </c>
    </row>
    <row r="80" spans="1:7" x14ac:dyDescent="0.25">
      <c r="A80" s="1" t="s">
        <v>33</v>
      </c>
      <c r="B80">
        <v>38.076000000000001</v>
      </c>
      <c r="C80">
        <v>-84.485100000000003</v>
      </c>
      <c r="D80" s="4">
        <v>38.076059999999998</v>
      </c>
      <c r="E80" s="4">
        <v>-84.485020000000006</v>
      </c>
      <c r="F80" s="5" t="str">
        <f t="shared" si="2"/>
        <v xml:space="preserve"> 38° 4' 33.8"</v>
      </c>
      <c r="G80" s="5" t="str">
        <f t="shared" si="3"/>
        <v xml:space="preserve"> -85° 30' 53.9"</v>
      </c>
    </row>
    <row r="81" spans="1:7" x14ac:dyDescent="0.25">
      <c r="A81" s="1" t="s">
        <v>49</v>
      </c>
      <c r="B81">
        <v>38.074170000000002</v>
      </c>
      <c r="C81">
        <v>-84.483670000000004</v>
      </c>
      <c r="D81" s="4">
        <v>38.07423</v>
      </c>
      <c r="E81" s="4">
        <v>-84.483590000000007</v>
      </c>
      <c r="F81" s="5" t="str">
        <f t="shared" si="2"/>
        <v xml:space="preserve"> 38° 4' 27.2"</v>
      </c>
      <c r="G81" s="5" t="str">
        <f t="shared" si="3"/>
        <v xml:space="preserve"> -85° 30' 59.1"</v>
      </c>
    </row>
    <row r="82" spans="1:7" x14ac:dyDescent="0.25">
      <c r="A82" s="1" t="s">
        <v>49</v>
      </c>
      <c r="B82">
        <v>38.073120000000003</v>
      </c>
      <c r="C82">
        <v>-84.479200000000006</v>
      </c>
      <c r="D82" s="4">
        <v>38.073180000000001</v>
      </c>
      <c r="E82" s="4">
        <v>-84.479119999999995</v>
      </c>
      <c r="F82" s="5" t="str">
        <f t="shared" si="2"/>
        <v xml:space="preserve"> 38° 4' 23.4"</v>
      </c>
      <c r="G82" s="5" t="str">
        <f t="shared" si="3"/>
        <v xml:space="preserve"> -85° 31' 15.2"</v>
      </c>
    </row>
    <row r="83" spans="1:7" x14ac:dyDescent="0.25">
      <c r="A83" s="1" t="s">
        <v>50</v>
      </c>
      <c r="B83">
        <v>38.045250000000003</v>
      </c>
      <c r="C83">
        <v>-84.470269999999999</v>
      </c>
      <c r="D83" s="4">
        <v>38.045310000000001</v>
      </c>
      <c r="E83" s="4">
        <v>-84.470190000000002</v>
      </c>
      <c r="F83" s="5" t="str">
        <f t="shared" si="2"/>
        <v xml:space="preserve"> 38° 2' 43.1"</v>
      </c>
      <c r="G83" s="5" t="str">
        <f t="shared" si="3"/>
        <v xml:space="preserve"> -85° 31' 47.3"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Sheet2</vt:lpstr>
      <vt:lpstr>Sheet3</vt:lpstr>
      <vt:lpstr>Sheet2!FEATURE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Puckett, Jeremy M</cp:lastModifiedBy>
  <cp:lastPrinted>2015-04-24T13:43:47Z</cp:lastPrinted>
  <dcterms:created xsi:type="dcterms:W3CDTF">2015-02-13T00:35:14Z</dcterms:created>
  <dcterms:modified xsi:type="dcterms:W3CDTF">2015-05-06T17:17:46Z</dcterms:modified>
</cp:coreProperties>
</file>